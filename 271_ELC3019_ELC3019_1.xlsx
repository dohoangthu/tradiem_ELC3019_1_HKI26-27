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ueudn-my.sharepoint.com/personal/thudh_due_udn_vn/Documents/Hoang Thu/DUE/courses/Thanh toan dien tu/ELC3019_1_HKI26-27/"/>
    </mc:Choice>
  </mc:AlternateContent>
  <xr:revisionPtr revIDLastSave="193" documentId="11_189E7D55795010AE235F811EC928C034C66717D2" xr6:coauthVersionLast="47" xr6:coauthVersionMax="47" xr10:uidLastSave="{10A10366-3C3F-4E5A-AB70-DB8467F4024D}"/>
  <bookViews>
    <workbookView xWindow="-110" yWindow="-110" windowWidth="19420" windowHeight="10300" xr2:uid="{00000000-000D-0000-FFFF-FFFF00000000}"/>
  </bookViews>
  <sheets>
    <sheet name="ELC3019_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2" i="2"/>
</calcChain>
</file>

<file path=xl/sharedStrings.xml><?xml version="1.0" encoding="utf-8"?>
<sst xmlns="http://schemas.openxmlformats.org/spreadsheetml/2006/main" count="113" uniqueCount="93">
  <si>
    <t>ClassID</t>
  </si>
  <si>
    <t>FullName</t>
  </si>
  <si>
    <t>UID</t>
  </si>
  <si>
    <t>48K02.2</t>
  </si>
  <si>
    <t>Nguyễn Tuấn Anh</t>
  </si>
  <si>
    <t>221121302202</t>
  </si>
  <si>
    <t>Nguyễn Văn Hồng Lĩnh</t>
  </si>
  <si>
    <t>221121302216</t>
  </si>
  <si>
    <t>Nguyễn Phan Minh Triết</t>
  </si>
  <si>
    <t>221121302233</t>
  </si>
  <si>
    <t>48K25.3</t>
  </si>
  <si>
    <t>Phan Thị Thanh Lâm</t>
  </si>
  <si>
    <t>221121325317</t>
  </si>
  <si>
    <t>48K33</t>
  </si>
  <si>
    <t>Đinh Quốc Hưng</t>
  </si>
  <si>
    <t>221122033116</t>
  </si>
  <si>
    <t>Hồ Kim Phụng</t>
  </si>
  <si>
    <t>221122033126</t>
  </si>
  <si>
    <t>49K22.1</t>
  </si>
  <si>
    <t>Nguyễn Thị Thảo Nguyên</t>
  </si>
  <si>
    <t>231124022119</t>
  </si>
  <si>
    <t>Hoàng Như Khánh Nhi</t>
  </si>
  <si>
    <t>231124022121</t>
  </si>
  <si>
    <t>49K22.3</t>
  </si>
  <si>
    <t>Nguyễn Thị Cẩm Hà</t>
  </si>
  <si>
    <t>231124022308</t>
  </si>
  <si>
    <t>49K25.3</t>
  </si>
  <si>
    <t>Phạm Quyền</t>
  </si>
  <si>
    <t>231121325339</t>
  </si>
  <si>
    <t>Mai Nguyễn Anh Thư</t>
  </si>
  <si>
    <t>231121325346</t>
  </si>
  <si>
    <t>Võ Văn Tin</t>
  </si>
  <si>
    <t>231121325350</t>
  </si>
  <si>
    <t>Nguyễn Thị Bích Trâm</t>
  </si>
  <si>
    <t>231121325351</t>
  </si>
  <si>
    <t>49K25.4</t>
  </si>
  <si>
    <t>Nguyễn Quang Huy</t>
  </si>
  <si>
    <t>231121325414</t>
  </si>
  <si>
    <t>Trần Lê Khanh</t>
  </si>
  <si>
    <t>231121325416</t>
  </si>
  <si>
    <t>Lê Thị Ly Na</t>
  </si>
  <si>
    <t>231121325421</t>
  </si>
  <si>
    <t>49K25.5</t>
  </si>
  <si>
    <t>Đặng Thưởng</t>
  </si>
  <si>
    <t>231121325547</t>
  </si>
  <si>
    <t>49K29.2</t>
  </si>
  <si>
    <t>Nguyễn Thị Trang</t>
  </si>
  <si>
    <t>231124029239</t>
  </si>
  <si>
    <t>49K30.1</t>
  </si>
  <si>
    <t>Huỳnh Lê Nguyên Hồng</t>
  </si>
  <si>
    <t>231121330109</t>
  </si>
  <si>
    <t>Lê Quỳnh Nhi</t>
  </si>
  <si>
    <t>231121330118</t>
  </si>
  <si>
    <t>49K33</t>
  </si>
  <si>
    <t>Nguyễn Quốc Hưng</t>
  </si>
  <si>
    <t>231122033119</t>
  </si>
  <si>
    <t>Nguyễn Ngọc Vĩnh Phước</t>
  </si>
  <si>
    <t>231122033143</t>
  </si>
  <si>
    <t>Nguyễn Thanh Quý</t>
  </si>
  <si>
    <t>231122033146</t>
  </si>
  <si>
    <t>50K02.1</t>
  </si>
  <si>
    <t>Lê Nguyễn Bảo Hân</t>
  </si>
  <si>
    <t>241121302113</t>
  </si>
  <si>
    <t>50K25.1</t>
  </si>
  <si>
    <t>Lương Quang Duy</t>
  </si>
  <si>
    <t>241121325107</t>
  </si>
  <si>
    <t>Võ Đào Thành Nguyên</t>
  </si>
  <si>
    <t>241121325121</t>
  </si>
  <si>
    <t>Trương Lê Đan Nhi</t>
  </si>
  <si>
    <t>241121325123</t>
  </si>
  <si>
    <t>Đinh Bảo Như</t>
  </si>
  <si>
    <t>241121325124</t>
  </si>
  <si>
    <t>Nguyễn Thị Hồng Phúc</t>
  </si>
  <si>
    <t>241121325127</t>
  </si>
  <si>
    <t>Phạm Đình Quân</t>
  </si>
  <si>
    <t>241121325129</t>
  </si>
  <si>
    <t>Nguyễn Nam Thành</t>
  </si>
  <si>
    <t>241121325135</t>
  </si>
  <si>
    <t>Phan Nguyễn Thảo Trân</t>
  </si>
  <si>
    <t>241121325140</t>
  </si>
  <si>
    <t>Phạm Việt Hoàng Vũ</t>
  </si>
  <si>
    <t>241121325144</t>
  </si>
  <si>
    <t>50K25.5</t>
  </si>
  <si>
    <t>Trần Ngọc Yến</t>
  </si>
  <si>
    <t>241121325563</t>
  </si>
  <si>
    <t>50K30</t>
  </si>
  <si>
    <t>Nguyễn Hoàng Anh Tú</t>
  </si>
  <si>
    <t>241121330147</t>
  </si>
  <si>
    <t>Điểm danh</t>
  </si>
  <si>
    <t>Kiểm tra trắc nghiệm 
Chương 1 và 2 (A)</t>
  </si>
  <si>
    <t>Thảo luận các chủ đề về E-Payment (B)</t>
  </si>
  <si>
    <t>Điểm cộng thành phần 1 (C)</t>
  </si>
  <si>
    <t>Thành phần 1 = A*50% + B*50% + C*5%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</si>
</sst>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0" fillId="0" borderId="0" xfId="0" applyAlignment="1">
      <alignment wrapText="1"/>
    </xf>
    <xf numFmtId="168" fontId="0" fillId="0" borderId="0" xfId="0" applyNumberFormat="1"/>
  </cellXfs>
  <cellStyles count="1">
    <cellStyle name="Bình thường" xfId="0" builtinId="0"/>
  </cellStyles>
  <dxfs count="1">
    <dxf>
      <numFmt numFmtId="168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6" totalsRowShown="0">
  <autoFilter ref="A1:H36" xr:uid="{00000000-0009-0000-0100-000001000000}"/>
  <tableColumns count="8">
    <tableColumn id="3" xr3:uid="{00000000-0010-0000-0000-000003000000}" name="ClassID"/>
    <tableColumn id="12" xr3:uid="{00000000-0010-0000-0000-00000C000000}" name="UID"/>
    <tableColumn id="11" xr3:uid="{00000000-0010-0000-0000-00000B000000}" name="FullName"/>
    <tableColumn id="1" xr3:uid="{453A5ABE-2CD7-490D-B0EA-6070C21C3D38}" name="Điểm danh"/>
    <tableColumn id="4" xr3:uid="{5DF8F95F-6F05-4CEB-BA70-9D3C92796A12}" name="Kiểm tra trắc nghiệm _x000a_Chương 1 và 2 (A)"/>
    <tableColumn id="5" xr3:uid="{E06D22C2-1B9F-483D-9195-952BB63F50AF}" name="Thảo luận các chủ đề về E-Payment (B)"/>
    <tableColumn id="2" xr3:uid="{AA0113A1-28F8-452F-BE34-E1DFE2E31F87}" name="Điểm cộng thành phần 1 (C)"/>
    <tableColumn id="6" xr3:uid="{2C288147-0CD3-40BA-A2A6-1DE26F6C8CC8}" name="Thành phần 1 = A*50% + B*50% + C*5%" dataDxfId="0">
      <calculatedColumnFormula>Table1[[#This Row],[Kiểm tra trắc nghiệm 
Chương 1 và 2 (A)]]*50%+Table1[[#This Row],[Thảo luận các chủ đề về E-Payment (B)]]*50%+Table1[[#This Row],[Điểm cộng thành phần 1 (C)]]*5%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116" zoomScaleNormal="116" workbookViewId="0">
      <selection activeCell="E6" sqref="E6"/>
    </sheetView>
  </sheetViews>
  <sheetFormatPr defaultRowHeight="14.5" x14ac:dyDescent="0.35"/>
  <cols>
    <col min="1" max="1" width="9.26953125" customWidth="1"/>
    <col min="2" max="2" width="15" customWidth="1"/>
    <col min="3" max="3" width="25.36328125" customWidth="1"/>
    <col min="4" max="4" width="15.81640625" customWidth="1"/>
    <col min="5" max="5" width="24" customWidth="1"/>
    <col min="6" max="6" width="22.90625" customWidth="1"/>
    <col min="7" max="7" width="21.36328125" customWidth="1"/>
    <col min="8" max="8" width="31.453125" customWidth="1"/>
  </cols>
  <sheetData>
    <row r="1" spans="1:8" ht="31.5" customHeight="1" x14ac:dyDescent="0.35">
      <c r="A1" t="s">
        <v>0</v>
      </c>
      <c r="B1" t="s">
        <v>2</v>
      </c>
      <c r="C1" t="s">
        <v>1</v>
      </c>
      <c r="D1" t="s">
        <v>88</v>
      </c>
      <c r="E1" s="1" t="s">
        <v>89</v>
      </c>
      <c r="F1" s="1" t="s">
        <v>90</v>
      </c>
      <c r="G1" t="s">
        <v>91</v>
      </c>
      <c r="H1" s="1" t="s">
        <v>92</v>
      </c>
    </row>
    <row r="2" spans="1:8" x14ac:dyDescent="0.35">
      <c r="A2" t="s">
        <v>3</v>
      </c>
      <c r="B2" t="s">
        <v>5</v>
      </c>
      <c r="C2" t="s">
        <v>4</v>
      </c>
      <c r="D2">
        <v>1</v>
      </c>
      <c r="E2">
        <v>7</v>
      </c>
      <c r="F2">
        <v>8.4</v>
      </c>
      <c r="H2" s="2">
        <f>Table1[[#This Row],[Kiểm tra trắc nghiệm 
Chương 1 và 2 (A)]]*50%+Table1[[#This Row],[Thảo luận các chủ đề về E-Payment (B)]]*50%+Table1[[#This Row],[Điểm cộng thành phần 1 (C)]]*5%</f>
        <v>7.7</v>
      </c>
    </row>
    <row r="3" spans="1:8" x14ac:dyDescent="0.35">
      <c r="A3" t="s">
        <v>3</v>
      </c>
      <c r="B3" t="s">
        <v>7</v>
      </c>
      <c r="C3" t="s">
        <v>6</v>
      </c>
      <c r="D3">
        <v>1</v>
      </c>
      <c r="E3">
        <v>9.25</v>
      </c>
      <c r="F3">
        <v>8.4</v>
      </c>
      <c r="H3" s="2">
        <f>Table1[[#This Row],[Kiểm tra trắc nghiệm 
Chương 1 và 2 (A)]]*50%+Table1[[#This Row],[Thảo luận các chủ đề về E-Payment (B)]]*50%+Table1[[#This Row],[Điểm cộng thành phần 1 (C)]]*5%</f>
        <v>8.8249999999999993</v>
      </c>
    </row>
    <row r="4" spans="1:8" x14ac:dyDescent="0.35">
      <c r="A4" t="s">
        <v>3</v>
      </c>
      <c r="B4" t="s">
        <v>9</v>
      </c>
      <c r="C4" t="s">
        <v>8</v>
      </c>
      <c r="D4">
        <v>1</v>
      </c>
      <c r="E4">
        <v>8</v>
      </c>
      <c r="F4">
        <v>8.4</v>
      </c>
      <c r="G4">
        <v>1</v>
      </c>
      <c r="H4" s="2">
        <f>Table1[[#This Row],[Kiểm tra trắc nghiệm 
Chương 1 và 2 (A)]]*50%+Table1[[#This Row],[Thảo luận các chủ đề về E-Payment (B)]]*50%+Table1[[#This Row],[Điểm cộng thành phần 1 (C)]]*5%</f>
        <v>8.25</v>
      </c>
    </row>
    <row r="5" spans="1:8" x14ac:dyDescent="0.35">
      <c r="A5" t="s">
        <v>10</v>
      </c>
      <c r="B5" t="s">
        <v>12</v>
      </c>
      <c r="C5" t="s">
        <v>11</v>
      </c>
      <c r="D5">
        <v>1</v>
      </c>
      <c r="E5">
        <v>8.5</v>
      </c>
      <c r="F5">
        <v>8.8000000000000007</v>
      </c>
      <c r="G5">
        <v>1</v>
      </c>
      <c r="H5" s="2">
        <f>Table1[[#This Row],[Kiểm tra trắc nghiệm 
Chương 1 và 2 (A)]]*50%+Table1[[#This Row],[Thảo luận các chủ đề về E-Payment (B)]]*50%+Table1[[#This Row],[Điểm cộng thành phần 1 (C)]]*5%</f>
        <v>8.7000000000000011</v>
      </c>
    </row>
    <row r="6" spans="1:8" x14ac:dyDescent="0.35">
      <c r="A6" t="s">
        <v>13</v>
      </c>
      <c r="B6" t="s">
        <v>15</v>
      </c>
      <c r="C6" t="s">
        <v>14</v>
      </c>
      <c r="D6">
        <v>1</v>
      </c>
      <c r="E6">
        <v>7.75</v>
      </c>
      <c r="F6">
        <v>8.4</v>
      </c>
      <c r="H6" s="2">
        <f>Table1[[#This Row],[Kiểm tra trắc nghiệm 
Chương 1 và 2 (A)]]*50%+Table1[[#This Row],[Thảo luận các chủ đề về E-Payment (B)]]*50%+Table1[[#This Row],[Điểm cộng thành phần 1 (C)]]*5%</f>
        <v>8.0749999999999993</v>
      </c>
    </row>
    <row r="7" spans="1:8" x14ac:dyDescent="0.35">
      <c r="A7" t="s">
        <v>13</v>
      </c>
      <c r="B7" t="s">
        <v>17</v>
      </c>
      <c r="C7" t="s">
        <v>16</v>
      </c>
      <c r="D7">
        <v>1</v>
      </c>
      <c r="E7">
        <v>0</v>
      </c>
      <c r="F7">
        <v>7.1</v>
      </c>
      <c r="H7" s="2">
        <f>Table1[[#This Row],[Kiểm tra trắc nghiệm 
Chương 1 và 2 (A)]]*50%+Table1[[#This Row],[Thảo luận các chủ đề về E-Payment (B)]]*50%+Table1[[#This Row],[Điểm cộng thành phần 1 (C)]]*5%</f>
        <v>3.55</v>
      </c>
    </row>
    <row r="8" spans="1:8" x14ac:dyDescent="0.35">
      <c r="A8" t="s">
        <v>18</v>
      </c>
      <c r="B8" t="s">
        <v>20</v>
      </c>
      <c r="C8" t="s">
        <v>19</v>
      </c>
      <c r="D8">
        <v>1</v>
      </c>
      <c r="E8">
        <v>10</v>
      </c>
      <c r="F8">
        <v>8.4</v>
      </c>
      <c r="G8">
        <v>2</v>
      </c>
      <c r="H8" s="2">
        <f>Table1[[#This Row],[Kiểm tra trắc nghiệm 
Chương 1 và 2 (A)]]*50%+Table1[[#This Row],[Thảo luận các chủ đề về E-Payment (B)]]*50%+Table1[[#This Row],[Điểm cộng thành phần 1 (C)]]*5%</f>
        <v>9.2999999999999989</v>
      </c>
    </row>
    <row r="9" spans="1:8" x14ac:dyDescent="0.35">
      <c r="A9" t="s">
        <v>18</v>
      </c>
      <c r="B9" t="s">
        <v>22</v>
      </c>
      <c r="C9" t="s">
        <v>21</v>
      </c>
      <c r="D9">
        <v>1</v>
      </c>
      <c r="E9">
        <v>9.5</v>
      </c>
      <c r="F9">
        <v>8.4</v>
      </c>
      <c r="H9" s="2">
        <f>Table1[[#This Row],[Kiểm tra trắc nghiệm 
Chương 1 và 2 (A)]]*50%+Table1[[#This Row],[Thảo luận các chủ đề về E-Payment (B)]]*50%+Table1[[#This Row],[Điểm cộng thành phần 1 (C)]]*5%</f>
        <v>8.9499999999999993</v>
      </c>
    </row>
    <row r="10" spans="1:8" x14ac:dyDescent="0.35">
      <c r="A10" t="s">
        <v>23</v>
      </c>
      <c r="B10" t="s">
        <v>25</v>
      </c>
      <c r="C10" t="s">
        <v>24</v>
      </c>
      <c r="D10">
        <v>1</v>
      </c>
      <c r="E10">
        <v>9.75</v>
      </c>
      <c r="F10">
        <v>8.8000000000000007</v>
      </c>
      <c r="G10">
        <v>1</v>
      </c>
      <c r="H10" s="2">
        <f>Table1[[#This Row],[Kiểm tra trắc nghiệm 
Chương 1 và 2 (A)]]*50%+Table1[[#This Row],[Thảo luận các chủ đề về E-Payment (B)]]*50%+Table1[[#This Row],[Điểm cộng thành phần 1 (C)]]*5%</f>
        <v>9.3250000000000011</v>
      </c>
    </row>
    <row r="11" spans="1:8" x14ac:dyDescent="0.35">
      <c r="A11" t="s">
        <v>26</v>
      </c>
      <c r="B11" t="s">
        <v>28</v>
      </c>
      <c r="C11" t="s">
        <v>27</v>
      </c>
      <c r="D11">
        <v>1</v>
      </c>
      <c r="E11">
        <v>9.5</v>
      </c>
      <c r="F11">
        <v>8.6</v>
      </c>
      <c r="G11">
        <v>2</v>
      </c>
      <c r="H11" s="2">
        <f>Table1[[#This Row],[Kiểm tra trắc nghiệm 
Chương 1 và 2 (A)]]*50%+Table1[[#This Row],[Thảo luận các chủ đề về E-Payment (B)]]*50%+Table1[[#This Row],[Điểm cộng thành phần 1 (C)]]*5%</f>
        <v>9.15</v>
      </c>
    </row>
    <row r="12" spans="1:8" x14ac:dyDescent="0.35">
      <c r="A12" t="s">
        <v>26</v>
      </c>
      <c r="B12" t="s">
        <v>30</v>
      </c>
      <c r="C12" t="s">
        <v>29</v>
      </c>
      <c r="D12">
        <v>1</v>
      </c>
      <c r="E12">
        <v>7.75</v>
      </c>
      <c r="F12">
        <v>8.6</v>
      </c>
      <c r="H12" s="2">
        <f>Table1[[#This Row],[Kiểm tra trắc nghiệm 
Chương 1 và 2 (A)]]*50%+Table1[[#This Row],[Thảo luận các chủ đề về E-Payment (B)]]*50%+Table1[[#This Row],[Điểm cộng thành phần 1 (C)]]*5%</f>
        <v>8.1750000000000007</v>
      </c>
    </row>
    <row r="13" spans="1:8" x14ac:dyDescent="0.35">
      <c r="A13" t="s">
        <v>26</v>
      </c>
      <c r="B13" t="s">
        <v>32</v>
      </c>
      <c r="C13" t="s">
        <v>31</v>
      </c>
      <c r="D13">
        <v>1</v>
      </c>
      <c r="E13">
        <v>8.75</v>
      </c>
      <c r="F13">
        <v>8.6</v>
      </c>
      <c r="H13" s="2">
        <f>Table1[[#This Row],[Kiểm tra trắc nghiệm 
Chương 1 và 2 (A)]]*50%+Table1[[#This Row],[Thảo luận các chủ đề về E-Payment (B)]]*50%+Table1[[#This Row],[Điểm cộng thành phần 1 (C)]]*5%</f>
        <v>8.6750000000000007</v>
      </c>
    </row>
    <row r="14" spans="1:8" x14ac:dyDescent="0.35">
      <c r="A14" t="s">
        <v>26</v>
      </c>
      <c r="B14" t="s">
        <v>34</v>
      </c>
      <c r="C14" t="s">
        <v>33</v>
      </c>
      <c r="D14">
        <v>1</v>
      </c>
      <c r="E14">
        <v>8.25</v>
      </c>
      <c r="F14">
        <v>8.6</v>
      </c>
      <c r="H14" s="2">
        <f>Table1[[#This Row],[Kiểm tra trắc nghiệm 
Chương 1 và 2 (A)]]*50%+Table1[[#This Row],[Thảo luận các chủ đề về E-Payment (B)]]*50%+Table1[[#This Row],[Điểm cộng thành phần 1 (C)]]*5%</f>
        <v>8.4250000000000007</v>
      </c>
    </row>
    <row r="15" spans="1:8" x14ac:dyDescent="0.35">
      <c r="A15" t="s">
        <v>35</v>
      </c>
      <c r="B15" t="s">
        <v>37</v>
      </c>
      <c r="C15" t="s">
        <v>36</v>
      </c>
      <c r="D15">
        <v>0</v>
      </c>
      <c r="E15">
        <v>8</v>
      </c>
      <c r="F15">
        <v>7.9</v>
      </c>
      <c r="G15">
        <v>2</v>
      </c>
      <c r="H15" s="2">
        <f>Table1[[#This Row],[Kiểm tra trắc nghiệm 
Chương 1 và 2 (A)]]*50%+Table1[[#This Row],[Thảo luận các chủ đề về E-Payment (B)]]*50%+Table1[[#This Row],[Điểm cộng thành phần 1 (C)]]*5%</f>
        <v>8.0500000000000007</v>
      </c>
    </row>
    <row r="16" spans="1:8" x14ac:dyDescent="0.35">
      <c r="A16" t="s">
        <v>35</v>
      </c>
      <c r="B16" t="s">
        <v>39</v>
      </c>
      <c r="C16" t="s">
        <v>38</v>
      </c>
      <c r="D16">
        <v>1</v>
      </c>
      <c r="E16">
        <v>8.25</v>
      </c>
      <c r="F16">
        <v>7.9</v>
      </c>
      <c r="H16" s="2">
        <f>Table1[[#This Row],[Kiểm tra trắc nghiệm 
Chương 1 và 2 (A)]]*50%+Table1[[#This Row],[Thảo luận các chủ đề về E-Payment (B)]]*50%+Table1[[#This Row],[Điểm cộng thành phần 1 (C)]]*5%</f>
        <v>8.0749999999999993</v>
      </c>
    </row>
    <row r="17" spans="1:8" x14ac:dyDescent="0.35">
      <c r="A17" t="s">
        <v>35</v>
      </c>
      <c r="B17" t="s">
        <v>41</v>
      </c>
      <c r="C17" t="s">
        <v>40</v>
      </c>
      <c r="D17">
        <v>1</v>
      </c>
      <c r="E17">
        <v>8.25</v>
      </c>
      <c r="F17">
        <v>7.9</v>
      </c>
      <c r="G17">
        <v>1</v>
      </c>
      <c r="H17" s="2">
        <f>Table1[[#This Row],[Kiểm tra trắc nghiệm 
Chương 1 và 2 (A)]]*50%+Table1[[#This Row],[Thảo luận các chủ đề về E-Payment (B)]]*50%+Table1[[#This Row],[Điểm cộng thành phần 1 (C)]]*5%</f>
        <v>8.125</v>
      </c>
    </row>
    <row r="18" spans="1:8" x14ac:dyDescent="0.35">
      <c r="A18" t="s">
        <v>42</v>
      </c>
      <c r="B18" t="s">
        <v>44</v>
      </c>
      <c r="C18" t="s">
        <v>43</v>
      </c>
      <c r="D18">
        <v>1</v>
      </c>
      <c r="E18">
        <v>9</v>
      </c>
      <c r="F18">
        <v>7.9</v>
      </c>
      <c r="G18">
        <v>1</v>
      </c>
      <c r="H18" s="2">
        <f>Table1[[#This Row],[Kiểm tra trắc nghiệm 
Chương 1 và 2 (A)]]*50%+Table1[[#This Row],[Thảo luận các chủ đề về E-Payment (B)]]*50%+Table1[[#This Row],[Điểm cộng thành phần 1 (C)]]*5%</f>
        <v>8.5</v>
      </c>
    </row>
    <row r="19" spans="1:8" x14ac:dyDescent="0.35">
      <c r="A19" t="s">
        <v>45</v>
      </c>
      <c r="B19" t="s">
        <v>47</v>
      </c>
      <c r="C19" t="s">
        <v>46</v>
      </c>
      <c r="D19">
        <v>1</v>
      </c>
      <c r="E19">
        <v>8.25</v>
      </c>
      <c r="F19">
        <v>8.6</v>
      </c>
      <c r="H19" s="2">
        <f>Table1[[#This Row],[Kiểm tra trắc nghiệm 
Chương 1 và 2 (A)]]*50%+Table1[[#This Row],[Thảo luận các chủ đề về E-Payment (B)]]*50%+Table1[[#This Row],[Điểm cộng thành phần 1 (C)]]*5%</f>
        <v>8.4250000000000007</v>
      </c>
    </row>
    <row r="20" spans="1:8" x14ac:dyDescent="0.35">
      <c r="A20" t="s">
        <v>48</v>
      </c>
      <c r="B20" t="s">
        <v>50</v>
      </c>
      <c r="C20" t="s">
        <v>49</v>
      </c>
      <c r="D20">
        <v>1</v>
      </c>
      <c r="E20">
        <v>10</v>
      </c>
      <c r="F20">
        <v>8.8000000000000007</v>
      </c>
      <c r="H20" s="2">
        <f>Table1[[#This Row],[Kiểm tra trắc nghiệm 
Chương 1 và 2 (A)]]*50%+Table1[[#This Row],[Thảo luận các chủ đề về E-Payment (B)]]*50%+Table1[[#This Row],[Điểm cộng thành phần 1 (C)]]*5%</f>
        <v>9.4</v>
      </c>
    </row>
    <row r="21" spans="1:8" x14ac:dyDescent="0.35">
      <c r="A21" t="s">
        <v>48</v>
      </c>
      <c r="B21" t="s">
        <v>52</v>
      </c>
      <c r="C21" t="s">
        <v>51</v>
      </c>
      <c r="D21">
        <v>1</v>
      </c>
      <c r="E21">
        <v>9.5</v>
      </c>
      <c r="F21">
        <v>7.1</v>
      </c>
      <c r="H21" s="2">
        <f>Table1[[#This Row],[Kiểm tra trắc nghiệm 
Chương 1 và 2 (A)]]*50%+Table1[[#This Row],[Thảo luận các chủ đề về E-Payment (B)]]*50%+Table1[[#This Row],[Điểm cộng thành phần 1 (C)]]*5%</f>
        <v>8.3000000000000007</v>
      </c>
    </row>
    <row r="22" spans="1:8" x14ac:dyDescent="0.35">
      <c r="A22" t="s">
        <v>53</v>
      </c>
      <c r="B22" t="s">
        <v>55</v>
      </c>
      <c r="C22" t="s">
        <v>54</v>
      </c>
      <c r="D22">
        <v>0</v>
      </c>
      <c r="E22">
        <v>9</v>
      </c>
      <c r="F22">
        <v>7.1</v>
      </c>
      <c r="H22" s="2">
        <f>Table1[[#This Row],[Kiểm tra trắc nghiệm 
Chương 1 và 2 (A)]]*50%+Table1[[#This Row],[Thảo luận các chủ đề về E-Payment (B)]]*50%+Table1[[#This Row],[Điểm cộng thành phần 1 (C)]]*5%</f>
        <v>8.0500000000000007</v>
      </c>
    </row>
    <row r="23" spans="1:8" x14ac:dyDescent="0.35">
      <c r="A23" t="s">
        <v>53</v>
      </c>
      <c r="B23" t="s">
        <v>57</v>
      </c>
      <c r="C23" t="s">
        <v>56</v>
      </c>
      <c r="D23">
        <v>1</v>
      </c>
      <c r="E23">
        <v>9</v>
      </c>
      <c r="F23">
        <v>7.1</v>
      </c>
      <c r="H23" s="2">
        <f>Table1[[#This Row],[Kiểm tra trắc nghiệm 
Chương 1 và 2 (A)]]*50%+Table1[[#This Row],[Thảo luận các chủ đề về E-Payment (B)]]*50%+Table1[[#This Row],[Điểm cộng thành phần 1 (C)]]*5%</f>
        <v>8.0500000000000007</v>
      </c>
    </row>
    <row r="24" spans="1:8" x14ac:dyDescent="0.35">
      <c r="A24" t="s">
        <v>53</v>
      </c>
      <c r="B24" t="s">
        <v>59</v>
      </c>
      <c r="C24" t="s">
        <v>58</v>
      </c>
      <c r="D24">
        <v>1</v>
      </c>
      <c r="E24">
        <v>9.25</v>
      </c>
      <c r="F24">
        <v>7.1</v>
      </c>
      <c r="G24">
        <v>1</v>
      </c>
      <c r="H24" s="2">
        <f>Table1[[#This Row],[Kiểm tra trắc nghiệm 
Chương 1 và 2 (A)]]*50%+Table1[[#This Row],[Thảo luận các chủ đề về E-Payment (B)]]*50%+Table1[[#This Row],[Điểm cộng thành phần 1 (C)]]*5%</f>
        <v>8.2250000000000014</v>
      </c>
    </row>
    <row r="25" spans="1:8" x14ac:dyDescent="0.35">
      <c r="A25" t="s">
        <v>60</v>
      </c>
      <c r="B25" t="s">
        <v>62</v>
      </c>
      <c r="C25" t="s">
        <v>61</v>
      </c>
      <c r="D25">
        <v>1</v>
      </c>
      <c r="E25">
        <v>8.75</v>
      </c>
      <c r="F25">
        <v>8.8000000000000007</v>
      </c>
      <c r="H25" s="2">
        <f>Table1[[#This Row],[Kiểm tra trắc nghiệm 
Chương 1 và 2 (A)]]*50%+Table1[[#This Row],[Thảo luận các chủ đề về E-Payment (B)]]*50%+Table1[[#This Row],[Điểm cộng thành phần 1 (C)]]*5%</f>
        <v>8.7750000000000004</v>
      </c>
    </row>
    <row r="26" spans="1:8" x14ac:dyDescent="0.35">
      <c r="A26" t="s">
        <v>63</v>
      </c>
      <c r="B26" t="s">
        <v>65</v>
      </c>
      <c r="C26" t="s">
        <v>64</v>
      </c>
      <c r="D26">
        <v>1</v>
      </c>
      <c r="E26">
        <v>9</v>
      </c>
      <c r="F26">
        <v>8.6999999999999993</v>
      </c>
      <c r="H26" s="2">
        <f>Table1[[#This Row],[Kiểm tra trắc nghiệm 
Chương 1 và 2 (A)]]*50%+Table1[[#This Row],[Thảo luận các chủ đề về E-Payment (B)]]*50%+Table1[[#This Row],[Điểm cộng thành phần 1 (C)]]*5%</f>
        <v>8.85</v>
      </c>
    </row>
    <row r="27" spans="1:8" x14ac:dyDescent="0.35">
      <c r="A27" t="s">
        <v>63</v>
      </c>
      <c r="B27" t="s">
        <v>67</v>
      </c>
      <c r="C27" t="s">
        <v>66</v>
      </c>
      <c r="D27">
        <v>1</v>
      </c>
      <c r="E27">
        <v>9</v>
      </c>
      <c r="F27">
        <v>8.1999999999999993</v>
      </c>
      <c r="H27" s="2">
        <f>Table1[[#This Row],[Kiểm tra trắc nghiệm 
Chương 1 và 2 (A)]]*50%+Table1[[#This Row],[Thảo luận các chủ đề về E-Payment (B)]]*50%+Table1[[#This Row],[Điểm cộng thành phần 1 (C)]]*5%</f>
        <v>8.6</v>
      </c>
    </row>
    <row r="28" spans="1:8" x14ac:dyDescent="0.35">
      <c r="A28" t="s">
        <v>63</v>
      </c>
      <c r="B28" t="s">
        <v>69</v>
      </c>
      <c r="C28" t="s">
        <v>68</v>
      </c>
      <c r="D28">
        <v>1</v>
      </c>
      <c r="E28">
        <v>9.25</v>
      </c>
      <c r="F28">
        <v>8.6999999999999993</v>
      </c>
      <c r="H28" s="2">
        <f>Table1[[#This Row],[Kiểm tra trắc nghiệm 
Chương 1 và 2 (A)]]*50%+Table1[[#This Row],[Thảo luận các chủ đề về E-Payment (B)]]*50%+Table1[[#This Row],[Điểm cộng thành phần 1 (C)]]*5%</f>
        <v>8.9749999999999996</v>
      </c>
    </row>
    <row r="29" spans="1:8" x14ac:dyDescent="0.35">
      <c r="A29" t="s">
        <v>63</v>
      </c>
      <c r="B29" t="s">
        <v>71</v>
      </c>
      <c r="C29" t="s">
        <v>70</v>
      </c>
      <c r="D29">
        <v>1</v>
      </c>
      <c r="E29">
        <v>8.25</v>
      </c>
      <c r="F29">
        <v>8.1999999999999993</v>
      </c>
      <c r="H29" s="2">
        <f>Table1[[#This Row],[Kiểm tra trắc nghiệm 
Chương 1 và 2 (A)]]*50%+Table1[[#This Row],[Thảo luận các chủ đề về E-Payment (B)]]*50%+Table1[[#This Row],[Điểm cộng thành phần 1 (C)]]*5%</f>
        <v>8.2249999999999996</v>
      </c>
    </row>
    <row r="30" spans="1:8" x14ac:dyDescent="0.35">
      <c r="A30" t="s">
        <v>63</v>
      </c>
      <c r="B30" t="s">
        <v>73</v>
      </c>
      <c r="C30" t="s">
        <v>72</v>
      </c>
      <c r="D30">
        <v>1</v>
      </c>
      <c r="E30">
        <v>9.75</v>
      </c>
      <c r="F30">
        <v>8.6999999999999993</v>
      </c>
      <c r="G30">
        <v>2</v>
      </c>
      <c r="H30" s="2">
        <f>Table1[[#This Row],[Kiểm tra trắc nghiệm 
Chương 1 và 2 (A)]]*50%+Table1[[#This Row],[Thảo luận các chủ đề về E-Payment (B)]]*50%+Table1[[#This Row],[Điểm cộng thành phần 1 (C)]]*5%</f>
        <v>9.3249999999999993</v>
      </c>
    </row>
    <row r="31" spans="1:8" x14ac:dyDescent="0.35">
      <c r="A31" t="s">
        <v>63</v>
      </c>
      <c r="B31" t="s">
        <v>75</v>
      </c>
      <c r="C31" t="s">
        <v>74</v>
      </c>
      <c r="D31">
        <v>1</v>
      </c>
      <c r="E31">
        <v>9.25</v>
      </c>
      <c r="F31">
        <v>8.1999999999999993</v>
      </c>
      <c r="H31" s="2">
        <f>Table1[[#This Row],[Kiểm tra trắc nghiệm 
Chương 1 và 2 (A)]]*50%+Table1[[#This Row],[Thảo luận các chủ đề về E-Payment (B)]]*50%+Table1[[#This Row],[Điểm cộng thành phần 1 (C)]]*5%</f>
        <v>8.7249999999999996</v>
      </c>
    </row>
    <row r="32" spans="1:8" x14ac:dyDescent="0.35">
      <c r="A32" t="s">
        <v>63</v>
      </c>
      <c r="B32" t="s">
        <v>77</v>
      </c>
      <c r="C32" t="s">
        <v>76</v>
      </c>
      <c r="D32">
        <v>1</v>
      </c>
      <c r="E32">
        <v>9</v>
      </c>
      <c r="F32">
        <v>8.6999999999999993</v>
      </c>
      <c r="G32">
        <v>2</v>
      </c>
      <c r="H32" s="2">
        <f>Table1[[#This Row],[Kiểm tra trắc nghiệm 
Chương 1 và 2 (A)]]*50%+Table1[[#This Row],[Thảo luận các chủ đề về E-Payment (B)]]*50%+Table1[[#This Row],[Điểm cộng thành phần 1 (C)]]*5%</f>
        <v>8.9499999999999993</v>
      </c>
    </row>
    <row r="33" spans="1:8" x14ac:dyDescent="0.35">
      <c r="A33" t="s">
        <v>63</v>
      </c>
      <c r="B33" t="s">
        <v>79</v>
      </c>
      <c r="C33" t="s">
        <v>78</v>
      </c>
      <c r="D33">
        <v>1</v>
      </c>
      <c r="E33">
        <v>9</v>
      </c>
      <c r="F33">
        <v>8.6999999999999993</v>
      </c>
      <c r="H33" s="2">
        <f>Table1[[#This Row],[Kiểm tra trắc nghiệm 
Chương 1 và 2 (A)]]*50%+Table1[[#This Row],[Thảo luận các chủ đề về E-Payment (B)]]*50%+Table1[[#This Row],[Điểm cộng thành phần 1 (C)]]*5%</f>
        <v>8.85</v>
      </c>
    </row>
    <row r="34" spans="1:8" x14ac:dyDescent="0.35">
      <c r="A34" t="s">
        <v>63</v>
      </c>
      <c r="B34" t="s">
        <v>81</v>
      </c>
      <c r="C34" t="s">
        <v>80</v>
      </c>
      <c r="D34">
        <v>0</v>
      </c>
      <c r="E34">
        <v>10</v>
      </c>
      <c r="F34">
        <v>8.1999999999999993</v>
      </c>
      <c r="H34" s="2">
        <f>Table1[[#This Row],[Kiểm tra trắc nghiệm 
Chương 1 và 2 (A)]]*50%+Table1[[#This Row],[Thảo luận các chủ đề về E-Payment (B)]]*50%+Table1[[#This Row],[Điểm cộng thành phần 1 (C)]]*5%</f>
        <v>9.1</v>
      </c>
    </row>
    <row r="35" spans="1:8" x14ac:dyDescent="0.35">
      <c r="A35" t="s">
        <v>82</v>
      </c>
      <c r="B35" t="s">
        <v>84</v>
      </c>
      <c r="C35" t="s">
        <v>83</v>
      </c>
      <c r="D35">
        <v>1</v>
      </c>
      <c r="E35">
        <v>9.25</v>
      </c>
      <c r="F35">
        <v>8.8000000000000007</v>
      </c>
      <c r="H35" s="2">
        <f>Table1[[#This Row],[Kiểm tra trắc nghiệm 
Chương 1 và 2 (A)]]*50%+Table1[[#This Row],[Thảo luận các chủ đề về E-Payment (B)]]*50%+Table1[[#This Row],[Điểm cộng thành phần 1 (C)]]*5%</f>
        <v>9.0250000000000004</v>
      </c>
    </row>
    <row r="36" spans="1:8" x14ac:dyDescent="0.35">
      <c r="A36" t="s">
        <v>85</v>
      </c>
      <c r="B36" t="s">
        <v>87</v>
      </c>
      <c r="C36" t="s">
        <v>86</v>
      </c>
      <c r="D36">
        <v>0</v>
      </c>
      <c r="E36">
        <v>7.5</v>
      </c>
      <c r="F36">
        <v>8.4</v>
      </c>
      <c r="G36">
        <v>2</v>
      </c>
      <c r="H36" s="2">
        <f>Table1[[#This Row],[Kiểm tra trắc nghiệm 
Chương 1 và 2 (A)]]*50%+Table1[[#This Row],[Thảo luận các chủ đề về E-Payment (B)]]*50%+Table1[[#This Row],[Điểm cộng thành phần 1 (C)]]*5%</f>
        <v>8.0500000000000007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ELC3019_1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Hoàng Thu</cp:lastModifiedBy>
  <dcterms:created xsi:type="dcterms:W3CDTF">2026-08-18T08:31:02Z</dcterms:created>
  <dcterms:modified xsi:type="dcterms:W3CDTF">2026-10-01T10:22:41Z</dcterms:modified>
</cp:coreProperties>
</file>